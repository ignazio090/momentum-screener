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ellingen" sheetId="1" state="visible" r:id="rId3"/>
    <sheet name="Trades" sheetId="2" state="visible" r:id="rId4"/>
    <sheet name="Screene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<sst xmlns="http://schemas.openxmlformats.org/spreadsheetml/2006/main" count="81" uniqueCount="65">
  <si>
    <t xml:space="preserve">Kostenaannames</t>
  </si>
  <si>
    <t xml:space="preserve">Blauwe cellen pas je zelf aan op basis van de actuele tarievenkaart van je broker.</t>
  </si>
  <si>
    <t xml:space="preserve">Parameter</t>
  </si>
  <si>
    <t xml:space="preserve">Waarde</t>
  </si>
  <si>
    <t xml:space="preserve">Toelichting / bron</t>
  </si>
  <si>
    <t xml:space="preserve">Vaste transactiekosten per order (€)</t>
  </si>
  <si>
    <t xml:space="preserve">€5 per order bij ABN AMRO buitenlandse aandelen (controleer tarievenkaart)</t>
  </si>
  <si>
    <t xml:space="preserve">Variabele transactiekosten (% van orderwaarde)</t>
  </si>
  <si>
    <t xml:space="preserve">0,05% bij ABN AMRO buitenlandse aandelen</t>
  </si>
  <si>
    <t xml:space="preserve">Wisselkoersmarge per kant (% van orderwaarde)</t>
  </si>
  <si>
    <t xml:space="preserve">Schatting voor EUR&lt;&gt;USD omrekening; 0 als je in EUR-aandelen handelt</t>
  </si>
  <si>
    <t xml:space="preserve">Servicekosten per jaar (% van portefeuille)</t>
  </si>
  <si>
    <t xml:space="preserve">0,20%/jaar volgens review; tarievenkaart is leidend</t>
  </si>
  <si>
    <t xml:space="preserve">Streefwinst per trade (%)</t>
  </si>
  <si>
    <t xml:space="preserve">Jouw exit-doel: verkopen bij +5%</t>
  </si>
  <si>
    <t xml:space="preserve">Break-even: minimale koersstijging om quitte te spelen</t>
  </si>
  <si>
    <t xml:space="preserve">Bij een order van €1.000 betaal je 2x transactiekosten (koop + verkoop) plus marge. Dat is grofweg (2 × €5) + (2 × 0,05% × €1.000) = €11. Je moet dus ~1,1% stijgen voordat je winst maakt — en dat percentage is groter naarmate je order kleiner is.</t>
  </si>
  <si>
    <t xml:space="preserve">Transactielogboek</t>
  </si>
  <si>
    <t xml:space="preserve">Witte kolommen vul je in. Grijze (formules) rekenen automatisch het netto rendement uit na alle kosten.</t>
  </si>
  <si>
    <t xml:space="preserve">Ticker</t>
  </si>
  <si>
    <t xml:space="preserve">Naam</t>
  </si>
  <si>
    <t xml:space="preserve">Koopdatum</t>
  </si>
  <si>
    <t xml:space="preserve">Koop­koers (€)</t>
  </si>
  <si>
    <t xml:space="preserve">Aantal</t>
  </si>
  <si>
    <t xml:space="preserve">Orderwaarde koop (€)</t>
  </si>
  <si>
    <t xml:space="preserve">Koopkosten (€)</t>
  </si>
  <si>
    <t xml:space="preserve">Verkoop­datum</t>
  </si>
  <si>
    <t xml:space="preserve">Verkoop­koers (€)</t>
  </si>
  <si>
    <t xml:space="preserve">Orderwaarde verkoop (€)</t>
  </si>
  <si>
    <t xml:space="preserve">Verkoopkosten (€)</t>
  </si>
  <si>
    <t xml:space="preserve">Bruto W/V (€)</t>
  </si>
  <si>
    <t xml:space="preserve">Totale kosten (€)</t>
  </si>
  <si>
    <t xml:space="preserve">Netto W/V (€)</t>
  </si>
  <si>
    <t xml:space="preserve">Netto rendement %</t>
  </si>
  <si>
    <t xml:space="preserve">Status</t>
  </si>
  <si>
    <t xml:space="preserve">ASML</t>
  </si>
  <si>
    <t xml:space="preserve">ASML Holding</t>
  </si>
  <si>
    <t xml:space="preserve">2026-06-10</t>
  </si>
  <si>
    <t xml:space="preserve">2026-06-24</t>
  </si>
  <si>
    <t xml:space="preserve">NVDA</t>
  </si>
  <si>
    <t xml:space="preserve">NVIDIA</t>
  </si>
  <si>
    <t xml:space="preserve">2026-06-12</t>
  </si>
  <si>
    <t xml:space="preserve">SHELL</t>
  </si>
  <si>
    <t xml:space="preserve">Shell plc</t>
  </si>
  <si>
    <t xml:space="preserve">2026-06-15</t>
  </si>
  <si>
    <t xml:space="preserve">2026-06-27</t>
  </si>
  <si>
    <t xml:space="preserve">TOTAAL</t>
  </si>
  <si>
    <t xml:space="preserve">Win-rate</t>
  </si>
  <si>
    <t xml:space="preserve">Dagelijkse screener — consistente stijgers (alle periodes)</t>
  </si>
  <si>
    <t xml:space="preserve">Kandidaten die over alle periodes tegelijk stijgen. Voorbeelddata; vervang met echte API-output.</t>
  </si>
  <si>
    <t xml:space="preserve">Datum gevonden</t>
  </si>
  <si>
    <t xml:space="preserve">Koers (€)</t>
  </si>
  <si>
    <t xml:space="preserve">% 1 dag</t>
  </si>
  <si>
    <t xml:space="preserve">% 1 week</t>
  </si>
  <si>
    <t xml:space="preserve">% 1 mnd</t>
  </si>
  <si>
    <t xml:space="preserve">% 6 mnd</t>
  </si>
  <si>
    <t xml:space="preserve">% 1 jaar</t>
  </si>
  <si>
    <t xml:space="preserve">Voldoet aan filter</t>
  </si>
  <si>
    <t xml:space="preserve">Nieuwslink</t>
  </si>
  <si>
    <t xml:space="preserve">2026-06-30</t>
  </si>
  <si>
    <t xml:space="preserve">https://finnhub.io/</t>
  </si>
  <si>
    <t xml:space="preserve">NOVO</t>
  </si>
  <si>
    <t xml:space="preserve">Novo Nordisk</t>
  </si>
  <si>
    <t xml:space="preserve">ADYEN</t>
  </si>
  <si>
    <t xml:space="preserve">Adyen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</si>
</sst>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€#,##0.00"/>
    <numFmt numFmtId="166" formatCode="0.00%"/>
    <numFmt numFmtId="167" formatCode="\€#,##0.00;&quot;(€&quot;#,##0.00\);\-"/>
    <numFmt numFmtId="168" formatCode="0.0%;\(0.0%\);\-"/>
    <numFmt numFmtId="169" formatCode="0.0%;\(0.0%\)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2E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F3A2E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finnhub.io/" TargetMode="External"/><Relationship Id="rId2" Type="http://schemas.openxmlformats.org/officeDocument/2006/relationships/hyperlink" Target="https://finnhub.io/" TargetMode="External"/><Relationship Id="rId3" Type="http://schemas.openxmlformats.org/officeDocument/2006/relationships/hyperlink" Target="https://finnhub.io/" TargetMode="External"/><Relationship Id="rId4" Type="http://schemas.openxmlformats.org/officeDocument/2006/relationships/hyperlink" Target="https://finnhub.io/" TargetMode="External"/><Relationship Id="rId5" Type="http://schemas.openxmlformats.org/officeDocument/2006/relationships/hyperlink" Target="https://finnhub.io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4"/>
    <col collapsed="false" customWidth="true" hidden="false" outlineLevel="0" max="3" min="3" style="1" width="5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</row>
    <row r="5" customFormat="false" ht="15" hidden="false" customHeight="true" outlineLevel="0" collapsed="false">
      <c r="A5" s="5" t="s">
        <v>5</v>
      </c>
      <c r="B5" s="6" t="n">
        <v>5</v>
      </c>
      <c r="C5" s="3" t="s">
        <v>6</v>
      </c>
    </row>
    <row r="6" customFormat="false" ht="15" hidden="false" customHeight="true" outlineLevel="0" collapsed="false">
      <c r="A6" s="5" t="s">
        <v>7</v>
      </c>
      <c r="B6" s="7" t="n">
        <v>0.0005</v>
      </c>
      <c r="C6" s="3" t="s">
        <v>8</v>
      </c>
    </row>
    <row r="7" customFormat="false" ht="15" hidden="false" customHeight="true" outlineLevel="0" collapsed="false">
      <c r="A7" s="5" t="s">
        <v>9</v>
      </c>
      <c r="B7" s="7" t="n">
        <v>0.002</v>
      </c>
      <c r="C7" s="3" t="s">
        <v>10</v>
      </c>
    </row>
    <row r="8" customFormat="false" ht="15" hidden="false" customHeight="true" outlineLevel="0" collapsed="false">
      <c r="A8" s="5" t="s">
        <v>11</v>
      </c>
      <c r="B8" s="7" t="n">
        <v>0.002</v>
      </c>
      <c r="C8" s="3" t="s">
        <v>12</v>
      </c>
    </row>
    <row r="9" customFormat="false" ht="15" hidden="false" customHeight="true" outlineLevel="0" collapsed="false">
      <c r="A9" s="5" t="s">
        <v>13</v>
      </c>
      <c r="B9" s="8" t="n">
        <v>0.05</v>
      </c>
      <c r="C9" s="3" t="s">
        <v>14</v>
      </c>
    </row>
    <row r="12" customFormat="false" ht="15" hidden="false" customHeight="true" outlineLevel="0" collapsed="false">
      <c r="A12" s="9" t="s">
        <v>15</v>
      </c>
    </row>
    <row r="13" customFormat="false" ht="45" hidden="false" customHeight="true" outlineLevel="0" collapsed="false">
      <c r="A13" s="10" t="s">
        <v>16</v>
      </c>
      <c r="B13" s="10"/>
      <c r="C13" s="10"/>
      <c r="D13" s="10"/>
      <c r="E13" s="10"/>
      <c r="F13" s="10"/>
    </row>
  </sheetData>
  <mergeCells count="1">
    <mergeCell ref="A13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8"/>
    <col collapsed="false" customWidth="true" hidden="false" outlineLevel="0" max="4" min="3" style="1" width="12"/>
    <col collapsed="false" customWidth="true" hidden="false" outlineLevel="0" max="5" min="5" style="1" width="8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9" min="8" style="1" width="12"/>
    <col collapsed="false" customWidth="true" hidden="false" outlineLevel="0" max="10" min="10" style="1" width="15"/>
    <col collapsed="false" customWidth="true" hidden="false" outlineLevel="0" max="12" min="11" style="1" width="13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6" min="16" style="1" width="9"/>
  </cols>
  <sheetData>
    <row r="1" customFormat="false" ht="17.25" hidden="false" customHeight="true" outlineLevel="0" collapsed="false">
      <c r="A1" s="2" t="s">
        <v>17</v>
      </c>
    </row>
    <row r="2" customFormat="false" ht="15" hidden="false" customHeight="true" outlineLevel="0" collapsed="false">
      <c r="A2" s="3" t="s">
        <v>18</v>
      </c>
    </row>
    <row r="4" customFormat="false" ht="30" hidden="false" customHeight="true" outlineLevel="0" collapsed="false">
      <c r="A4" s="11" t="s">
        <v>19</v>
      </c>
      <c r="B4" s="11" t="s">
        <v>20</v>
      </c>
      <c r="C4" s="11" t="s">
        <v>21</v>
      </c>
      <c r="D4" s="11" t="s">
        <v>22</v>
      </c>
      <c r="E4" s="11" t="s">
        <v>23</v>
      </c>
      <c r="F4" s="11" t="s">
        <v>24</v>
      </c>
      <c r="G4" s="11" t="s">
        <v>25</v>
      </c>
      <c r="H4" s="11" t="s">
        <v>26</v>
      </c>
      <c r="I4" s="11" t="s">
        <v>27</v>
      </c>
      <c r="J4" s="11" t="s">
        <v>28</v>
      </c>
      <c r="K4" s="11" t="s">
        <v>29</v>
      </c>
      <c r="L4" s="11" t="s">
        <v>30</v>
      </c>
      <c r="M4" s="11" t="s">
        <v>31</v>
      </c>
      <c r="N4" s="11" t="s">
        <v>32</v>
      </c>
      <c r="O4" s="11" t="s">
        <v>33</v>
      </c>
      <c r="P4" s="11" t="s">
        <v>34</v>
      </c>
    </row>
    <row r="5" customFormat="false" ht="15" hidden="false" customHeight="true" outlineLevel="0" collapsed="false">
      <c r="A5" s="12" t="s">
        <v>35</v>
      </c>
      <c r="B5" s="12" t="s">
        <v>36</v>
      </c>
      <c r="C5" s="12" t="s">
        <v>37</v>
      </c>
      <c r="D5" s="13" t="n">
        <v>980</v>
      </c>
      <c r="E5" s="12" t="n">
        <v>5</v>
      </c>
      <c r="F5" s="14" t="n">
        <f aca="false">D5*E5</f>
        <v>4900</v>
      </c>
      <c r="G5" s="14" t="n">
        <f aca="false">Instellingen!$B$5+(Instellingen!$B$6+Instellingen!$B$7)*F5</f>
        <v>17.25</v>
      </c>
      <c r="H5" s="12" t="s">
        <v>38</v>
      </c>
      <c r="I5" s="13" t="n">
        <v>1031</v>
      </c>
      <c r="J5" s="14" t="n">
        <f aca="false">IF(I5="","",I5*E5)</f>
        <v>5155</v>
      </c>
      <c r="K5" s="14" t="n">
        <f aca="false">IF(I5="","",Instellingen!$B$5+(Instellingen!$B$6+Instellingen!$B$7)*J5)</f>
        <v>17.8875</v>
      </c>
      <c r="L5" s="14" t="n">
        <f aca="false">IF(I5="","",J5-F5)</f>
        <v>255</v>
      </c>
      <c r="M5" s="14" t="n">
        <f aca="false">IF(I5="",G5,G5+K5)</f>
        <v>35.1375</v>
      </c>
      <c r="N5" s="14" t="n">
        <f aca="false">IF(I5="","",L5-M5)</f>
        <v>219.8625</v>
      </c>
      <c r="O5" s="15" t="n">
        <f aca="false">IF(I5="","",N5/F5)</f>
        <v>0.0448698979591837</v>
      </c>
      <c r="P5" s="5" t="str">
        <f aca="false">IF(I5="","Open",IF(N5&gt;=0,"Winst","Verlies"))</f>
        <v>Winst</v>
      </c>
    </row>
    <row r="6" customFormat="false" ht="15" hidden="false" customHeight="true" outlineLevel="0" collapsed="false">
      <c r="A6" s="12" t="s">
        <v>39</v>
      </c>
      <c r="B6" s="12" t="s">
        <v>40</v>
      </c>
      <c r="C6" s="12" t="s">
        <v>41</v>
      </c>
      <c r="D6" s="13" t="n">
        <v>118.5</v>
      </c>
      <c r="E6" s="12" t="n">
        <v>40</v>
      </c>
      <c r="F6" s="14" t="n">
        <f aca="false">D6*E6</f>
        <v>4740</v>
      </c>
      <c r="G6" s="14" t="n">
        <f aca="false">Instellingen!$B$5+(Instellingen!$B$6+Instellingen!$B$7)*F6</f>
        <v>16.85</v>
      </c>
      <c r="H6" s="12"/>
      <c r="I6" s="13"/>
      <c r="J6" s="14" t="str">
        <f aca="false">IF(I6="","",I6*E6)</f>
        <v/>
      </c>
      <c r="K6" s="14" t="str">
        <f aca="false">IF(I6="","",Instellingen!$B$5+(Instellingen!$B$6+Instellingen!$B$7)*J6)</f>
        <v/>
      </c>
      <c r="L6" s="14" t="str">
        <f aca="false">IF(I6="","",J6-F6)</f>
        <v/>
      </c>
      <c r="M6" s="14" t="n">
        <f aca="false">IF(I6="",G6,G6+K6)</f>
        <v>16.85</v>
      </c>
      <c r="N6" s="14" t="str">
        <f aca="false">IF(I6="","",L6-M6)</f>
        <v/>
      </c>
      <c r="O6" s="15" t="str">
        <f aca="false">IF(I6="","",N6/F6)</f>
        <v/>
      </c>
      <c r="P6" s="5" t="str">
        <f aca="false">IF(I6="","Open",IF(N6&gt;=0,"Winst","Verlies"))</f>
        <v>Open</v>
      </c>
    </row>
    <row r="7" customFormat="false" ht="15" hidden="false" customHeight="true" outlineLevel="0" collapsed="false">
      <c r="A7" s="12" t="s">
        <v>42</v>
      </c>
      <c r="B7" s="12" t="s">
        <v>43</v>
      </c>
      <c r="C7" s="12" t="s">
        <v>44</v>
      </c>
      <c r="D7" s="13" t="n">
        <v>31.2</v>
      </c>
      <c r="E7" s="12" t="n">
        <v>60</v>
      </c>
      <c r="F7" s="14" t="n">
        <f aca="false">D7*E7</f>
        <v>1872</v>
      </c>
      <c r="G7" s="14" t="n">
        <f aca="false">Instellingen!$B$5+(Instellingen!$B$6+Instellingen!$B$7)*F7</f>
        <v>9.68</v>
      </c>
      <c r="H7" s="12" t="s">
        <v>45</v>
      </c>
      <c r="I7" s="13" t="n">
        <v>32.05</v>
      </c>
      <c r="J7" s="14" t="n">
        <f aca="false">IF(I7="","",I7*E7)</f>
        <v>1923</v>
      </c>
      <c r="K7" s="14" t="n">
        <f aca="false">IF(I7="","",Instellingen!$B$5+(Instellingen!$B$6+Instellingen!$B$7)*J7)</f>
        <v>9.8075</v>
      </c>
      <c r="L7" s="14" t="n">
        <f aca="false">IF(I7="","",J7-F7)</f>
        <v>50.9999999999998</v>
      </c>
      <c r="M7" s="14" t="n">
        <f aca="false">IF(I7="",G7,G7+K7)</f>
        <v>19.4875</v>
      </c>
      <c r="N7" s="14" t="n">
        <f aca="false">IF(I7="","",L7-M7)</f>
        <v>31.5124999999998</v>
      </c>
      <c r="O7" s="15" t="n">
        <f aca="false">IF(I7="","",N7/F7)</f>
        <v>0.0168336004273503</v>
      </c>
      <c r="P7" s="5" t="str">
        <f aca="false">IF(I7="","Open",IF(N7&gt;=0,"Winst","Verlies"))</f>
        <v>Winst</v>
      </c>
    </row>
    <row r="8" customFormat="false" ht="15" hidden="false" customHeight="true" outlineLevel="0" collapsed="false">
      <c r="A8" s="12"/>
      <c r="B8" s="12"/>
      <c r="C8" s="12"/>
      <c r="D8" s="13"/>
      <c r="E8" s="12"/>
      <c r="F8" s="14" t="str">
        <f aca="false">IF(E8="","",D8*E8)</f>
        <v/>
      </c>
      <c r="G8" s="14" t="str">
        <f aca="false">IF(F8="","",Instellingen!$B$5+(Instellingen!$B$6+Instellingen!$B$7)*F8)</f>
        <v/>
      </c>
      <c r="H8" s="12"/>
      <c r="I8" s="13"/>
      <c r="J8" s="14" t="str">
        <f aca="false">IF(I8="","",I8*E8)</f>
        <v/>
      </c>
      <c r="K8" s="14" t="str">
        <f aca="false">IF(I8="","",Instellingen!$B$5+(Instellingen!$B$6+Instellingen!$B$7)*J8)</f>
        <v/>
      </c>
      <c r="L8" s="14" t="str">
        <f aca="false">IF(I8="","",J8-F8)</f>
        <v/>
      </c>
      <c r="M8" s="14" t="str">
        <f aca="false">IF(F8="","",IF(I8="",G8,G8+K8))</f>
        <v/>
      </c>
      <c r="N8" s="14" t="str">
        <f aca="false">IF(I8="","",L8-M8)</f>
        <v/>
      </c>
      <c r="O8" s="15" t="str">
        <f aca="false">IF(I8="","",N8/F8)</f>
        <v/>
      </c>
      <c r="P8" s="5" t="str">
        <f aca="false">IF(D8="","",IF(I8="","Open",IF(N8&gt;=0,"Winst","Verlies")))</f>
        <v/>
      </c>
    </row>
    <row r="9" customFormat="false" ht="15" hidden="false" customHeight="true" outlineLevel="0" collapsed="false">
      <c r="A9" s="12"/>
      <c r="B9" s="12"/>
      <c r="C9" s="12"/>
      <c r="D9" s="13"/>
      <c r="E9" s="12"/>
      <c r="F9" s="14" t="str">
        <f aca="false">IF(E9="","",D9*E9)</f>
        <v/>
      </c>
      <c r="G9" s="14" t="str">
        <f aca="false">IF(F9="","",Instellingen!$B$5+(Instellingen!$B$6+Instellingen!$B$7)*F9)</f>
        <v/>
      </c>
      <c r="H9" s="12"/>
      <c r="I9" s="13"/>
      <c r="J9" s="14" t="str">
        <f aca="false">IF(I9="","",I9*E9)</f>
        <v/>
      </c>
      <c r="K9" s="14" t="str">
        <f aca="false">IF(I9="","",Instellingen!$B$5+(Instellingen!$B$6+Instellingen!$B$7)*J9)</f>
        <v/>
      </c>
      <c r="L9" s="14" t="str">
        <f aca="false">IF(I9="","",J9-F9)</f>
        <v/>
      </c>
      <c r="M9" s="14" t="str">
        <f aca="false">IF(F9="","",IF(I9="",G9,G9+K9))</f>
        <v/>
      </c>
      <c r="N9" s="14" t="str">
        <f aca="false">IF(I9="","",L9-M9)</f>
        <v/>
      </c>
      <c r="O9" s="15" t="str">
        <f aca="false">IF(I9="","",N9/F9)</f>
        <v/>
      </c>
      <c r="P9" s="5" t="str">
        <f aca="false">IF(D9="","",IF(I9="","Open",IF(N9&gt;=0,"Winst","Verlies")))</f>
        <v/>
      </c>
    </row>
    <row r="10" customFormat="false" ht="15" hidden="false" customHeight="true" outlineLevel="0" collapsed="false">
      <c r="A10" s="12"/>
      <c r="B10" s="12"/>
      <c r="C10" s="12"/>
      <c r="D10" s="13"/>
      <c r="E10" s="12"/>
      <c r="F10" s="14" t="str">
        <f aca="false">IF(E10="","",D10*E10)</f>
        <v/>
      </c>
      <c r="G10" s="14" t="str">
        <f aca="false">IF(F10="","",Instellingen!$B$5+(Instellingen!$B$6+Instellingen!$B$7)*F10)</f>
        <v/>
      </c>
      <c r="H10" s="12"/>
      <c r="I10" s="13"/>
      <c r="J10" s="14" t="str">
        <f aca="false">IF(I10="","",I10*E10)</f>
        <v/>
      </c>
      <c r="K10" s="14" t="str">
        <f aca="false">IF(I10="","",Instellingen!$B$5+(Instellingen!$B$6+Instellingen!$B$7)*J10)</f>
        <v/>
      </c>
      <c r="L10" s="14" t="str">
        <f aca="false">IF(I10="","",J10-F10)</f>
        <v/>
      </c>
      <c r="M10" s="14" t="str">
        <f aca="false">IF(F10="","",IF(I10="",G10,G10+K10))</f>
        <v/>
      </c>
      <c r="N10" s="14" t="str">
        <f aca="false">IF(I10="","",L10-M10)</f>
        <v/>
      </c>
      <c r="O10" s="15" t="str">
        <f aca="false">IF(I10="","",N10/F10)</f>
        <v/>
      </c>
      <c r="P10" s="5" t="str">
        <f aca="false">IF(D10="","",IF(I10="","Open",IF(N10&gt;=0,"Winst","Verlies")))</f>
        <v/>
      </c>
    </row>
    <row r="11" customFormat="false" ht="15" hidden="false" customHeight="true" outlineLevel="0" collapsed="false">
      <c r="A11" s="12"/>
      <c r="B11" s="12"/>
      <c r="C11" s="12"/>
      <c r="D11" s="13"/>
      <c r="E11" s="12"/>
      <c r="F11" s="14" t="str">
        <f aca="false">IF(E11="","",D11*E11)</f>
        <v/>
      </c>
      <c r="G11" s="14" t="str">
        <f aca="false">IF(F11="","",Instellingen!$B$5+(Instellingen!$B$6+Instellingen!$B$7)*F11)</f>
        <v/>
      </c>
      <c r="H11" s="12"/>
      <c r="I11" s="13"/>
      <c r="J11" s="14" t="str">
        <f aca="false">IF(I11="","",I11*E11)</f>
        <v/>
      </c>
      <c r="K11" s="14" t="str">
        <f aca="false">IF(I11="","",Instellingen!$B$5+(Instellingen!$B$6+Instellingen!$B$7)*J11)</f>
        <v/>
      </c>
      <c r="L11" s="14" t="str">
        <f aca="false">IF(I11="","",J11-F11)</f>
        <v/>
      </c>
      <c r="M11" s="14" t="str">
        <f aca="false">IF(F11="","",IF(I11="",G11,G11+K11))</f>
        <v/>
      </c>
      <c r="N11" s="14" t="str">
        <f aca="false">IF(I11="","",L11-M11)</f>
        <v/>
      </c>
      <c r="O11" s="15" t="str">
        <f aca="false">IF(I11="","",N11/F11)</f>
        <v/>
      </c>
      <c r="P11" s="5" t="str">
        <f aca="false">IF(D11="","",IF(I11="","Open",IF(N11&gt;=0,"Winst","Verlies")))</f>
        <v/>
      </c>
    </row>
    <row r="12" customFormat="false" ht="15" hidden="false" customHeight="true" outlineLevel="0" collapsed="false">
      <c r="A12" s="12"/>
      <c r="B12" s="12"/>
      <c r="C12" s="12"/>
      <c r="D12" s="13"/>
      <c r="E12" s="12"/>
      <c r="F12" s="14" t="str">
        <f aca="false">IF(E12="","",D12*E12)</f>
        <v/>
      </c>
      <c r="G12" s="14" t="str">
        <f aca="false">IF(F12="","",Instellingen!$B$5+(Instellingen!$B$6+Instellingen!$B$7)*F12)</f>
        <v/>
      </c>
      <c r="H12" s="12"/>
      <c r="I12" s="13"/>
      <c r="J12" s="14" t="str">
        <f aca="false">IF(I12="","",I12*E12)</f>
        <v/>
      </c>
      <c r="K12" s="14" t="str">
        <f aca="false">IF(I12="","",Instellingen!$B$5+(Instellingen!$B$6+Instellingen!$B$7)*J12)</f>
        <v/>
      </c>
      <c r="L12" s="14" t="str">
        <f aca="false">IF(I12="","",J12-F12)</f>
        <v/>
      </c>
      <c r="M12" s="14" t="str">
        <f aca="false">IF(F12="","",IF(I12="",G12,G12+K12))</f>
        <v/>
      </c>
      <c r="N12" s="14" t="str">
        <f aca="false">IF(I12="","",L12-M12)</f>
        <v/>
      </c>
      <c r="O12" s="15" t="str">
        <f aca="false">IF(I12="","",N12/F12)</f>
        <v/>
      </c>
      <c r="P12" s="5" t="str">
        <f aca="false">IF(D12="","",IF(I12="","Open",IF(N12&gt;=0,"Winst","Verlies")))</f>
        <v/>
      </c>
    </row>
    <row r="13" customFormat="false" ht="15" hidden="false" customHeight="true" outlineLevel="0" collapsed="false">
      <c r="A13" s="12"/>
      <c r="B13" s="12"/>
      <c r="C13" s="12"/>
      <c r="D13" s="13"/>
      <c r="E13" s="12"/>
      <c r="F13" s="14" t="str">
        <f aca="false">IF(E13="","",D13*E13)</f>
        <v/>
      </c>
      <c r="G13" s="14" t="str">
        <f aca="false">IF(F13="","",Instellingen!$B$5+(Instellingen!$B$6+Instellingen!$B$7)*F13)</f>
        <v/>
      </c>
      <c r="H13" s="12"/>
      <c r="I13" s="13"/>
      <c r="J13" s="14" t="str">
        <f aca="false">IF(I13="","",I13*E13)</f>
        <v/>
      </c>
      <c r="K13" s="14" t="str">
        <f aca="false">IF(I13="","",Instellingen!$B$5+(Instellingen!$B$6+Instellingen!$B$7)*J13)</f>
        <v/>
      </c>
      <c r="L13" s="14" t="str">
        <f aca="false">IF(I13="","",J13-F13)</f>
        <v/>
      </c>
      <c r="M13" s="14" t="str">
        <f aca="false">IF(F13="","",IF(I13="",G13,G13+K13))</f>
        <v/>
      </c>
      <c r="N13" s="14" t="str">
        <f aca="false">IF(I13="","",L13-M13)</f>
        <v/>
      </c>
      <c r="O13" s="15" t="str">
        <f aca="false">IF(I13="","",N13/F13)</f>
        <v/>
      </c>
      <c r="P13" s="5" t="str">
        <f aca="false">IF(D13="","",IF(I13="","Open",IF(N13&gt;=0,"Winst","Verlies")))</f>
        <v/>
      </c>
    </row>
    <row r="14" customFormat="false" ht="15" hidden="false" customHeight="true" outlineLevel="0" collapsed="false">
      <c r="A14" s="12"/>
      <c r="B14" s="12"/>
      <c r="C14" s="12"/>
      <c r="D14" s="13"/>
      <c r="E14" s="12"/>
      <c r="F14" s="14" t="str">
        <f aca="false">IF(E14="","",D14*E14)</f>
        <v/>
      </c>
      <c r="G14" s="14" t="str">
        <f aca="false">IF(F14="","",Instellingen!$B$5+(Instellingen!$B$6+Instellingen!$B$7)*F14)</f>
        <v/>
      </c>
      <c r="H14" s="12"/>
      <c r="I14" s="13"/>
      <c r="J14" s="14" t="str">
        <f aca="false">IF(I14="","",I14*E14)</f>
        <v/>
      </c>
      <c r="K14" s="14" t="str">
        <f aca="false">IF(I14="","",Instellingen!$B$5+(Instellingen!$B$6+Instellingen!$B$7)*J14)</f>
        <v/>
      </c>
      <c r="L14" s="14" t="str">
        <f aca="false">IF(I14="","",J14-F14)</f>
        <v/>
      </c>
      <c r="M14" s="14" t="str">
        <f aca="false">IF(F14="","",IF(I14="",G14,G14+K14))</f>
        <v/>
      </c>
      <c r="N14" s="14" t="str">
        <f aca="false">IF(I14="","",L14-M14)</f>
        <v/>
      </c>
      <c r="O14" s="15" t="str">
        <f aca="false">IF(I14="","",N14/F14)</f>
        <v/>
      </c>
      <c r="P14" s="5" t="str">
        <f aca="false">IF(D14="","",IF(I14="","Open",IF(N14&gt;=0,"Winst","Verlies")))</f>
        <v/>
      </c>
    </row>
    <row r="15" customFormat="false" ht="15" hidden="false" customHeight="true" outlineLevel="0" collapsed="false">
      <c r="A15" s="12"/>
      <c r="B15" s="12"/>
      <c r="C15" s="12"/>
      <c r="D15" s="13"/>
      <c r="E15" s="12"/>
      <c r="F15" s="14" t="str">
        <f aca="false">IF(E15="","",D15*E15)</f>
        <v/>
      </c>
      <c r="G15" s="14" t="str">
        <f aca="false">IF(F15="","",Instellingen!$B$5+(Instellingen!$B$6+Instellingen!$B$7)*F15)</f>
        <v/>
      </c>
      <c r="H15" s="12"/>
      <c r="I15" s="13"/>
      <c r="J15" s="14" t="str">
        <f aca="false">IF(I15="","",I15*E15)</f>
        <v/>
      </c>
      <c r="K15" s="14" t="str">
        <f aca="false">IF(I15="","",Instellingen!$B$5+(Instellingen!$B$6+Instellingen!$B$7)*J15)</f>
        <v/>
      </c>
      <c r="L15" s="14" t="str">
        <f aca="false">IF(I15="","",J15-F15)</f>
        <v/>
      </c>
      <c r="M15" s="14" t="str">
        <f aca="false">IF(F15="","",IF(I15="",G15,G15+K15))</f>
        <v/>
      </c>
      <c r="N15" s="14" t="str">
        <f aca="false">IF(I15="","",L15-M15)</f>
        <v/>
      </c>
      <c r="O15" s="15" t="str">
        <f aca="false">IF(I15="","",N15/F15)</f>
        <v/>
      </c>
      <c r="P15" s="5" t="str">
        <f aca="false">IF(D15="","",IF(I15="","Open",IF(N15&gt;=0,"Winst","Verlies")))</f>
        <v/>
      </c>
    </row>
    <row r="16" customFormat="false" ht="15" hidden="false" customHeight="true" outlineLevel="0" collapsed="false">
      <c r="A16" s="12"/>
      <c r="B16" s="12"/>
      <c r="C16" s="12"/>
      <c r="D16" s="13"/>
      <c r="E16" s="12"/>
      <c r="F16" s="14" t="str">
        <f aca="false">IF(E16="","",D16*E16)</f>
        <v/>
      </c>
      <c r="G16" s="14" t="str">
        <f aca="false">IF(F16="","",Instellingen!$B$5+(Instellingen!$B$6+Instellingen!$B$7)*F16)</f>
        <v/>
      </c>
      <c r="H16" s="12"/>
      <c r="I16" s="13"/>
      <c r="J16" s="14" t="str">
        <f aca="false">IF(I16="","",I16*E16)</f>
        <v/>
      </c>
      <c r="K16" s="14" t="str">
        <f aca="false">IF(I16="","",Instellingen!$B$5+(Instellingen!$B$6+Instellingen!$B$7)*J16)</f>
        <v/>
      </c>
      <c r="L16" s="14" t="str">
        <f aca="false">IF(I16="","",J16-F16)</f>
        <v/>
      </c>
      <c r="M16" s="14" t="str">
        <f aca="false">IF(F16="","",IF(I16="",G16,G16+K16))</f>
        <v/>
      </c>
      <c r="N16" s="14" t="str">
        <f aca="false">IF(I16="","",L16-M16)</f>
        <v/>
      </c>
      <c r="O16" s="15" t="str">
        <f aca="false">IF(I16="","",N16/F16)</f>
        <v/>
      </c>
      <c r="P16" s="5" t="str">
        <f aca="false">IF(D16="","",IF(I16="","Open",IF(N16&gt;=0,"Winst","Verlies")))</f>
        <v/>
      </c>
    </row>
    <row r="17" customFormat="false" ht="15" hidden="false" customHeight="true" outlineLevel="0" collapsed="false">
      <c r="A17" s="12"/>
      <c r="B17" s="12"/>
      <c r="C17" s="12"/>
      <c r="D17" s="13"/>
      <c r="E17" s="12"/>
      <c r="F17" s="14" t="str">
        <f aca="false">IF(E17="","",D17*E17)</f>
        <v/>
      </c>
      <c r="G17" s="14" t="str">
        <f aca="false">IF(F17="","",Instellingen!$B$5+(Instellingen!$B$6+Instellingen!$B$7)*F17)</f>
        <v/>
      </c>
      <c r="H17" s="12"/>
      <c r="I17" s="13"/>
      <c r="J17" s="14" t="str">
        <f aca="false">IF(I17="","",I17*E17)</f>
        <v/>
      </c>
      <c r="K17" s="14" t="str">
        <f aca="false">IF(I17="","",Instellingen!$B$5+(Instellingen!$B$6+Instellingen!$B$7)*J17)</f>
        <v/>
      </c>
      <c r="L17" s="14" t="str">
        <f aca="false">IF(I17="","",J17-F17)</f>
        <v/>
      </c>
      <c r="M17" s="14" t="str">
        <f aca="false">IF(F17="","",IF(I17="",G17,G17+K17))</f>
        <v/>
      </c>
      <c r="N17" s="14" t="str">
        <f aca="false">IF(I17="","",L17-M17)</f>
        <v/>
      </c>
      <c r="O17" s="15" t="str">
        <f aca="false">IF(I17="","",N17/F17)</f>
        <v/>
      </c>
      <c r="P17" s="5" t="str">
        <f aca="false">IF(D17="","",IF(I17="","Open",IF(N17&gt;=0,"Winst","Verlies")))</f>
        <v/>
      </c>
    </row>
    <row r="18" customFormat="false" ht="15" hidden="false" customHeight="true" outlineLevel="0" collapsed="false">
      <c r="A18" s="12"/>
      <c r="B18" s="12"/>
      <c r="C18" s="12"/>
      <c r="D18" s="13"/>
      <c r="E18" s="12"/>
      <c r="F18" s="14" t="str">
        <f aca="false">IF(E18="","",D18*E18)</f>
        <v/>
      </c>
      <c r="G18" s="14" t="str">
        <f aca="false">IF(F18="","",Instellingen!$B$5+(Instellingen!$B$6+Instellingen!$B$7)*F18)</f>
        <v/>
      </c>
      <c r="H18" s="12"/>
      <c r="I18" s="13"/>
      <c r="J18" s="14" t="str">
        <f aca="false">IF(I18="","",I18*E18)</f>
        <v/>
      </c>
      <c r="K18" s="14" t="str">
        <f aca="false">IF(I18="","",Instellingen!$B$5+(Instellingen!$B$6+Instellingen!$B$7)*J18)</f>
        <v/>
      </c>
      <c r="L18" s="14" t="str">
        <f aca="false">IF(I18="","",J18-F18)</f>
        <v/>
      </c>
      <c r="M18" s="14" t="str">
        <f aca="false">IF(F18="","",IF(I18="",G18,G18+K18))</f>
        <v/>
      </c>
      <c r="N18" s="14" t="str">
        <f aca="false">IF(I18="","",L18-M18)</f>
        <v/>
      </c>
      <c r="O18" s="15" t="str">
        <f aca="false">IF(I18="","",N18/F18)</f>
        <v/>
      </c>
      <c r="P18" s="5" t="str">
        <f aca="false">IF(D18="","",IF(I18="","Open",IF(N18&gt;=0,"Winst","Verlies")))</f>
        <v/>
      </c>
    </row>
    <row r="19" customFormat="false" ht="15" hidden="false" customHeight="true" outlineLevel="0" collapsed="false">
      <c r="A19" s="12"/>
      <c r="B19" s="12"/>
      <c r="C19" s="12"/>
      <c r="D19" s="13"/>
      <c r="E19" s="12"/>
      <c r="F19" s="14" t="str">
        <f aca="false">IF(E19="","",D19*E19)</f>
        <v/>
      </c>
      <c r="G19" s="14" t="str">
        <f aca="false">IF(F19="","",Instellingen!$B$5+(Instellingen!$B$6+Instellingen!$B$7)*F19)</f>
        <v/>
      </c>
      <c r="H19" s="12"/>
      <c r="I19" s="13"/>
      <c r="J19" s="14" t="str">
        <f aca="false">IF(I19="","",I19*E19)</f>
        <v/>
      </c>
      <c r="K19" s="14" t="str">
        <f aca="false">IF(I19="","",Instellingen!$B$5+(Instellingen!$B$6+Instellingen!$B$7)*J19)</f>
        <v/>
      </c>
      <c r="L19" s="14" t="str">
        <f aca="false">IF(I19="","",J19-F19)</f>
        <v/>
      </c>
      <c r="M19" s="14" t="str">
        <f aca="false">IF(F19="","",IF(I19="",G19,G19+K19))</f>
        <v/>
      </c>
      <c r="N19" s="14" t="str">
        <f aca="false">IF(I19="","",L19-M19)</f>
        <v/>
      </c>
      <c r="O19" s="15" t="str">
        <f aca="false">IF(I19="","",N19/F19)</f>
        <v/>
      </c>
      <c r="P19" s="5" t="str">
        <f aca="false">IF(D19="","",IF(I19="","Open",IF(N19&gt;=0,"Winst","Verlies")))</f>
        <v/>
      </c>
    </row>
    <row r="20" customFormat="false" ht="15" hidden="false" customHeight="true" outlineLevel="0" collapsed="false">
      <c r="A20" s="12"/>
      <c r="B20" s="12"/>
      <c r="C20" s="12"/>
      <c r="D20" s="13"/>
      <c r="E20" s="12"/>
      <c r="F20" s="14" t="str">
        <f aca="false">IF(E20="","",D20*E20)</f>
        <v/>
      </c>
      <c r="G20" s="14" t="str">
        <f aca="false">IF(F20="","",Instellingen!$B$5+(Instellingen!$B$6+Instellingen!$B$7)*F20)</f>
        <v/>
      </c>
      <c r="H20" s="12"/>
      <c r="I20" s="13"/>
      <c r="J20" s="14" t="str">
        <f aca="false">IF(I20="","",I20*E20)</f>
        <v/>
      </c>
      <c r="K20" s="14" t="str">
        <f aca="false">IF(I20="","",Instellingen!$B$5+(Instellingen!$B$6+Instellingen!$B$7)*J20)</f>
        <v/>
      </c>
      <c r="L20" s="14" t="str">
        <f aca="false">IF(I20="","",J20-F20)</f>
        <v/>
      </c>
      <c r="M20" s="14" t="str">
        <f aca="false">IF(F20="","",IF(I20="",G20,G20+K20))</f>
        <v/>
      </c>
      <c r="N20" s="14" t="str">
        <f aca="false">IF(I20="","",L20-M20)</f>
        <v/>
      </c>
      <c r="O20" s="15" t="str">
        <f aca="false">IF(I20="","",N20/F20)</f>
        <v/>
      </c>
      <c r="P20" s="5" t="str">
        <f aca="false">IF(D20="","",IF(I20="","Open",IF(N20&gt;=0,"Winst","Verlies")))</f>
        <v/>
      </c>
    </row>
    <row r="21" customFormat="false" ht="15" hidden="false" customHeight="true" outlineLevel="0" collapsed="false">
      <c r="A21" s="12"/>
      <c r="B21" s="12"/>
      <c r="C21" s="12"/>
      <c r="D21" s="13"/>
      <c r="E21" s="12"/>
      <c r="F21" s="14" t="str">
        <f aca="false">IF(E21="","",D21*E21)</f>
        <v/>
      </c>
      <c r="G21" s="14" t="str">
        <f aca="false">IF(F21="","",Instellingen!$B$5+(Instellingen!$B$6+Instellingen!$B$7)*F21)</f>
        <v/>
      </c>
      <c r="H21" s="12"/>
      <c r="I21" s="13"/>
      <c r="J21" s="14" t="str">
        <f aca="false">IF(I21="","",I21*E21)</f>
        <v/>
      </c>
      <c r="K21" s="14" t="str">
        <f aca="false">IF(I21="","",Instellingen!$B$5+(Instellingen!$B$6+Instellingen!$B$7)*J21)</f>
        <v/>
      </c>
      <c r="L21" s="14" t="str">
        <f aca="false">IF(I21="","",J21-F21)</f>
        <v/>
      </c>
      <c r="M21" s="14" t="str">
        <f aca="false">IF(F21="","",IF(I21="",G21,G21+K21))</f>
        <v/>
      </c>
      <c r="N21" s="14" t="str">
        <f aca="false">IF(I21="","",L21-M21)</f>
        <v/>
      </c>
      <c r="O21" s="15" t="str">
        <f aca="false">IF(I21="","",N21/F21)</f>
        <v/>
      </c>
      <c r="P21" s="5" t="str">
        <f aca="false">IF(D21="","",IF(I21="","Open",IF(N21&gt;=0,"Winst","Verlies")))</f>
        <v/>
      </c>
    </row>
    <row r="22" customFormat="false" ht="15" hidden="false" customHeight="true" outlineLevel="0" collapsed="false">
      <c r="A22" s="12"/>
      <c r="B22" s="12"/>
      <c r="C22" s="12"/>
      <c r="D22" s="13"/>
      <c r="E22" s="12"/>
      <c r="F22" s="14" t="str">
        <f aca="false">IF(E22="","",D22*E22)</f>
        <v/>
      </c>
      <c r="G22" s="14" t="str">
        <f aca="false">IF(F22="","",Instellingen!$B$5+(Instellingen!$B$6+Instellingen!$B$7)*F22)</f>
        <v/>
      </c>
      <c r="H22" s="12"/>
      <c r="I22" s="13"/>
      <c r="J22" s="14" t="str">
        <f aca="false">IF(I22="","",I22*E22)</f>
        <v/>
      </c>
      <c r="K22" s="14" t="str">
        <f aca="false">IF(I22="","",Instellingen!$B$5+(Instellingen!$B$6+Instellingen!$B$7)*J22)</f>
        <v/>
      </c>
      <c r="L22" s="14" t="str">
        <f aca="false">IF(I22="","",J22-F22)</f>
        <v/>
      </c>
      <c r="M22" s="14" t="str">
        <f aca="false">IF(F22="","",IF(I22="",G22,G22+K22))</f>
        <v/>
      </c>
      <c r="N22" s="14" t="str">
        <f aca="false">IF(I22="","",L22-M22)</f>
        <v/>
      </c>
      <c r="O22" s="15" t="str">
        <f aca="false">IF(I22="","",N22/F22)</f>
        <v/>
      </c>
      <c r="P22" s="5" t="str">
        <f aca="false">IF(D22="","",IF(I22="","Open",IF(N22&gt;=0,"Winst","Verlies")))</f>
        <v/>
      </c>
    </row>
    <row r="24" customFormat="false" ht="15" hidden="false" customHeight="true" outlineLevel="0" collapsed="false">
      <c r="A24" s="9" t="s">
        <v>46</v>
      </c>
      <c r="L24" s="16" t="n">
        <f aca="false">SUM(L5:L22)</f>
        <v>306</v>
      </c>
      <c r="M24" s="16" t="n">
        <f aca="false">SUM(M5:M22)</f>
        <v>71.475</v>
      </c>
      <c r="N24" s="16" t="n">
        <f aca="false">SUM(N5:N22)</f>
        <v>251.375</v>
      </c>
    </row>
    <row r="25" customFormat="false" ht="15" hidden="false" customHeight="true" outlineLevel="0" collapsed="false">
      <c r="A25" s="9" t="s">
        <v>47</v>
      </c>
      <c r="B25" s="17" t="str">
        <f aca="false">COUNTIF(P5:P22,"Winst")&amp;" winst / "&amp;COUNTIF(P5:P22,"Verlies")&amp;" verlies"</f>
        <v>2 winst / 0 verlies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9"/>
    <col collapsed="false" customWidth="true" hidden="false" outlineLevel="0" max="3" min="3" style="1" width="18"/>
    <col collapsed="false" customWidth="true" hidden="false" outlineLevel="0" max="4" min="4" style="1" width="11"/>
    <col collapsed="false" customWidth="true" hidden="false" outlineLevel="0" max="9" min="5" style="1" width="9"/>
    <col collapsed="false" customWidth="true" hidden="false" outlineLevel="0" max="10" min="10" style="1" width="14"/>
    <col collapsed="false" customWidth="true" hidden="false" outlineLevel="0" max="11" min="11" style="1" width="30"/>
  </cols>
  <sheetData>
    <row r="1" customFormat="false" ht="17.25" hidden="false" customHeight="true" outlineLevel="0" collapsed="false">
      <c r="A1" s="2" t="s">
        <v>48</v>
      </c>
    </row>
    <row r="2" customFormat="false" ht="15" hidden="false" customHeight="true" outlineLevel="0" collapsed="false">
      <c r="A2" s="3" t="s">
        <v>49</v>
      </c>
    </row>
    <row r="4" customFormat="false" ht="27.75" hidden="false" customHeight="true" outlineLevel="0" collapsed="false">
      <c r="A4" s="4" t="s">
        <v>50</v>
      </c>
      <c r="B4" s="4" t="s">
        <v>19</v>
      </c>
      <c r="C4" s="4" t="s">
        <v>20</v>
      </c>
      <c r="D4" s="4" t="s">
        <v>51</v>
      </c>
      <c r="E4" s="4" t="s">
        <v>52</v>
      </c>
      <c r="F4" s="4" t="s">
        <v>53</v>
      </c>
      <c r="G4" s="4" t="s">
        <v>54</v>
      </c>
      <c r="H4" s="4" t="s">
        <v>55</v>
      </c>
      <c r="I4" s="4" t="s">
        <v>56</v>
      </c>
      <c r="J4" s="4" t="s">
        <v>57</v>
      </c>
      <c r="K4" s="4" t="s">
        <v>58</v>
      </c>
    </row>
    <row r="5" customFormat="false" ht="15" hidden="false" customHeight="true" outlineLevel="0" collapsed="false">
      <c r="A5" s="5" t="s">
        <v>59</v>
      </c>
      <c r="B5" s="5" t="s">
        <v>39</v>
      </c>
      <c r="C5" s="5" t="s">
        <v>40</v>
      </c>
      <c r="D5" s="18" t="n">
        <v>118.5</v>
      </c>
      <c r="E5" s="19" t="n">
        <v>0.062</v>
      </c>
      <c r="F5" s="19" t="n">
        <v>0.081</v>
      </c>
      <c r="G5" s="19" t="n">
        <v>0.143</v>
      </c>
      <c r="H5" s="19" t="n">
        <v>0.31</v>
      </c>
      <c r="I5" s="19" t="n">
        <v>0.62</v>
      </c>
      <c r="J5" s="5" t="str">
        <f aca="false">IF(AND(E5&gt;=0,F5&gt;=0,G5&gt;=0,H5&gt;=0,I5&gt;=0),"JA","nee")</f>
        <v>JA</v>
      </c>
      <c r="K5" s="20" t="s">
        <v>60</v>
      </c>
    </row>
    <row r="6" customFormat="false" ht="15" hidden="false" customHeight="true" outlineLevel="0" collapsed="false">
      <c r="A6" s="5" t="s">
        <v>59</v>
      </c>
      <c r="B6" s="5" t="s">
        <v>35</v>
      </c>
      <c r="C6" s="5" t="s">
        <v>36</v>
      </c>
      <c r="D6" s="18" t="n">
        <v>1031</v>
      </c>
      <c r="E6" s="19" t="n">
        <v>0.051</v>
      </c>
      <c r="F6" s="19" t="n">
        <v>0.066</v>
      </c>
      <c r="G6" s="19" t="n">
        <v>0.092</v>
      </c>
      <c r="H6" s="19" t="n">
        <v>0.18</v>
      </c>
      <c r="I6" s="19" t="n">
        <v>0.27</v>
      </c>
      <c r="J6" s="5" t="str">
        <f aca="false">IF(AND(E6&gt;=0,F6&gt;=0,G6&gt;=0,H6&gt;=0,I6&gt;=0),"JA","nee")</f>
        <v>JA</v>
      </c>
      <c r="K6" s="20" t="s">
        <v>60</v>
      </c>
    </row>
    <row r="7" customFormat="false" ht="15" hidden="false" customHeight="true" outlineLevel="0" collapsed="false">
      <c r="A7" s="5" t="s">
        <v>59</v>
      </c>
      <c r="B7" s="5" t="s">
        <v>61</v>
      </c>
      <c r="C7" s="5" t="s">
        <v>62</v>
      </c>
      <c r="D7" s="18" t="n">
        <v>92.4</v>
      </c>
      <c r="E7" s="19" t="n">
        <v>0.058</v>
      </c>
      <c r="F7" s="19" t="n">
        <v>0.072</v>
      </c>
      <c r="G7" s="19" t="n">
        <v>0.11</v>
      </c>
      <c r="H7" s="21" t="n">
        <v>0.04</v>
      </c>
      <c r="I7" s="22" t="n">
        <v>-0.12</v>
      </c>
      <c r="J7" s="5" t="str">
        <f aca="false">IF(AND(E7&gt;=0,F7&gt;=0,G7&gt;=0,H7&gt;=0,I7&gt;=0),"JA","nee")</f>
        <v>nee</v>
      </c>
      <c r="K7" s="20" t="s">
        <v>60</v>
      </c>
    </row>
    <row r="8" customFormat="false" ht="15" hidden="false" customHeight="true" outlineLevel="0" collapsed="false">
      <c r="A8" s="5" t="s">
        <v>59</v>
      </c>
      <c r="B8" s="5" t="s">
        <v>42</v>
      </c>
      <c r="C8" s="5" t="s">
        <v>43</v>
      </c>
      <c r="D8" s="18" t="n">
        <v>32.05</v>
      </c>
      <c r="E8" s="21" t="n">
        <v>0.027</v>
      </c>
      <c r="F8" s="21" t="n">
        <v>0.041</v>
      </c>
      <c r="G8" s="19" t="n">
        <v>0.06</v>
      </c>
      <c r="H8" s="19" t="n">
        <v>0.09</v>
      </c>
      <c r="I8" s="19" t="n">
        <v>0.14</v>
      </c>
      <c r="J8" s="5" t="str">
        <f aca="false">IF(AND(E8&gt;=0,F8&gt;=0,G8&gt;=0,H8&gt;=0,I8&gt;=0),"JA","nee")</f>
        <v>JA</v>
      </c>
      <c r="K8" s="20" t="s">
        <v>60</v>
      </c>
    </row>
    <row r="9" customFormat="false" ht="15" hidden="false" customHeight="true" outlineLevel="0" collapsed="false">
      <c r="A9" s="5" t="s">
        <v>59</v>
      </c>
      <c r="B9" s="5" t="s">
        <v>63</v>
      </c>
      <c r="C9" s="5" t="s">
        <v>64</v>
      </c>
      <c r="D9" s="18" t="n">
        <v>1450</v>
      </c>
      <c r="E9" s="19" t="n">
        <v>0.071</v>
      </c>
      <c r="F9" s="19" t="n">
        <v>0.12</v>
      </c>
      <c r="G9" s="19" t="n">
        <v>0.19</v>
      </c>
      <c r="H9" s="19" t="n">
        <v>0.22</v>
      </c>
      <c r="I9" s="19" t="n">
        <v>0.41</v>
      </c>
      <c r="J9" s="5" t="str">
        <f aca="false">IF(AND(E9&gt;=0,F9&gt;=0,G9&gt;=0,H9&gt;=0,I9&gt;=0),"JA","nee")</f>
        <v>JA</v>
      </c>
      <c r="K9" s="20" t="s">
        <v>60</v>
      </c>
    </row>
  </sheetData>
  <hyperlinks>
    <hyperlink ref="K5" r:id="rId1" display="https://finnhub.io/"/>
    <hyperlink ref="K6" r:id="rId2" display="https://finnhub.io/"/>
    <hyperlink ref="K7" r:id="rId3" display="https://finnhub.io/"/>
    <hyperlink ref="K8" r:id="rId4" display="https://finnhub.io/"/>
    <hyperlink ref="K9" r:id="rId5" display="https://finnhub.io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2026-06-30T17:31:54Z</dcterms:created>
  <dc:creator>openpyxl</dc:creator>
  <dc:description/>
  <dc:language>en-US</dc:language>
  <cp:lastModifiedBy/>
  <dcterms:modified xsi:type="dcterms:W3CDTF">2026-06-30T19:09:50Z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